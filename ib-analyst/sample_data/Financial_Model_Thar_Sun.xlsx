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Operations" sheetId="2" state="visible" r:id="rId4"/>
    <sheet name="Debt Schedule" sheetId="3" state="visible" r:id="rId5"/>
    <sheet name="Financial Statement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<sst xmlns="http://schemas.openxmlformats.org/spreadsheetml/2006/main" count="110" uniqueCount="78">
  <si>
    <t xml:space="preserve">Thar Sun Power – Base Case Assumptions (fictional)</t>
  </si>
  <si>
    <t xml:space="preserve">All amounts in PKR mn unless stated</t>
  </si>
  <si>
    <t xml:space="preserve">Installed capacity</t>
  </si>
  <si>
    <t xml:space="preserve">MW</t>
  </si>
  <si>
    <t xml:space="preserve">Net capacity factor (P50)</t>
  </si>
  <si>
    <t xml:space="preserve">%</t>
  </si>
  <si>
    <t xml:space="preserve">Annual degradation</t>
  </si>
  <si>
    <t xml:space="preserve">Reference tariff (Year 1)</t>
  </si>
  <si>
    <t xml:space="preserve">PKR/kWh</t>
  </si>
  <si>
    <t xml:space="preserve">Tariff indexation</t>
  </si>
  <si>
    <t xml:space="preserve">O&amp;M cost (Year 1)</t>
  </si>
  <si>
    <t xml:space="preserve">PKR mn</t>
  </si>
  <si>
    <t xml:space="preserve">Insurance cost (Year 1)</t>
  </si>
  <si>
    <t xml:space="preserve">Opex escalation</t>
  </si>
  <si>
    <t xml:space="preserve">EPC cost</t>
  </si>
  <si>
    <t xml:space="preserve">Development costs</t>
  </si>
  <si>
    <t xml:space="preserve">Interest during construction</t>
  </si>
  <si>
    <t xml:space="preserve">Financing fees</t>
  </si>
  <si>
    <t xml:space="preserve">Total project cost</t>
  </si>
  <si>
    <t xml:space="preserve">Senior debt share</t>
  </si>
  <si>
    <t xml:space="preserve">Senior debt</t>
  </si>
  <si>
    <t xml:space="preserve">Sponsor equity</t>
  </si>
  <si>
    <t xml:space="preserve">KIBOR</t>
  </si>
  <si>
    <t xml:space="preserve">Margin</t>
  </si>
  <si>
    <t xml:space="preserve">All-in interest rate</t>
  </si>
  <si>
    <t xml:space="preserve">Repayment period</t>
  </si>
  <si>
    <t xml:space="preserve">years</t>
  </si>
  <si>
    <t xml:space="preserve">Tax rate (exempt)</t>
  </si>
  <si>
    <t xml:space="preserve">Depreciation life</t>
  </si>
  <si>
    <t xml:space="preserve">Operations</t>
  </si>
  <si>
    <t xml:space="preserve">Fiscal year</t>
  </si>
  <si>
    <t xml:space="preserve">Operating year</t>
  </si>
  <si>
    <t xml:space="preserve">#</t>
  </si>
  <si>
    <t xml:space="preserve">Energy generated</t>
  </si>
  <si>
    <t xml:space="preserve">GWh</t>
  </si>
  <si>
    <t xml:space="preserve">Tariff</t>
  </si>
  <si>
    <t xml:space="preserve">Revenue</t>
  </si>
  <si>
    <t xml:space="preserve">O&amp;M cost</t>
  </si>
  <si>
    <t xml:space="preserve">Insurance</t>
  </si>
  <si>
    <t xml:space="preserve">Total operating costs</t>
  </si>
  <si>
    <t xml:space="preserve">EBITDA</t>
  </si>
  <si>
    <t xml:space="preserve">EBITDA margin</t>
  </si>
  <si>
    <t xml:space="preserve">Senior Debt Schedule</t>
  </si>
  <si>
    <t xml:space="preserve">Opening balance</t>
  </si>
  <si>
    <t xml:space="preserve">Repayment</t>
  </si>
  <si>
    <t xml:space="preserve">Closing balance</t>
  </si>
  <si>
    <t xml:space="preserve">Interest</t>
  </si>
  <si>
    <t xml:space="preserve">Total debt service</t>
  </si>
  <si>
    <t xml:space="preserve">CFADS</t>
  </si>
  <si>
    <t xml:space="preserve">DSCR</t>
  </si>
  <si>
    <t xml:space="preserve">x</t>
  </si>
  <si>
    <t xml:space="preserve">Financial Statements</t>
  </si>
  <si>
    <t xml:space="preserve">INCOME STATEMENT</t>
  </si>
  <si>
    <t xml:space="preserve">Operating costs</t>
  </si>
  <si>
    <t xml:space="preserve">Depreciation</t>
  </si>
  <si>
    <t xml:space="preserve">Interest expense</t>
  </si>
  <si>
    <t xml:space="preserve">Tax</t>
  </si>
  <si>
    <t xml:space="preserve">Net profit</t>
  </si>
  <si>
    <t xml:space="preserve">CASH FLOW</t>
  </si>
  <si>
    <t xml:space="preserve">Cash flow before debt service</t>
  </si>
  <si>
    <t xml:space="preserve">Debt service</t>
  </si>
  <si>
    <t xml:space="preserve">Net cash flow</t>
  </si>
  <si>
    <t xml:space="preserve">Closing cash</t>
  </si>
  <si>
    <t xml:space="preserve">BALANCE SHEET</t>
  </si>
  <si>
    <t xml:space="preserve">Net fixed assets</t>
  </si>
  <si>
    <t xml:space="preserve">Cash</t>
  </si>
  <si>
    <t xml:space="preserve">Total assets</t>
  </si>
  <si>
    <t xml:space="preserve">Share capital</t>
  </si>
  <si>
    <t xml:space="preserve">Retained earnings</t>
  </si>
  <si>
    <t xml:space="preserve">Total liabilities and equity</t>
  </si>
  <si>
    <t xml:space="preserve">Balance check</t>
  </si>
  <si>
    <t xml:space="preserve">Key Outputs</t>
  </si>
  <si>
    <t xml:space="preserve">Total project cost (PKR mn)</t>
  </si>
  <si>
    <t xml:space="preserve">Senior debt (PKR mn)</t>
  </si>
  <si>
    <t xml:space="preserve">Sponsor equity (PKR mn)</t>
  </si>
  <si>
    <t xml:space="preserve">Minimum DSCR (x)</t>
  </si>
  <si>
    <t xml:space="preserve">Average DSCR (x)</t>
  </si>
  <si>
    <t xml:space="preserve">Year 1 EBITDA (PKR mn)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</si>
</sst>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  <c r="C4" s="0" t="n">
        <v>150</v>
      </c>
    </row>
    <row r="5" customFormat="false" ht="15" hidden="false" customHeight="false" outlineLevel="0" collapsed="false">
      <c r="A5" s="0" t="s">
        <v>4</v>
      </c>
      <c r="B5" s="0" t="s">
        <v>5</v>
      </c>
      <c r="C5" s="0" t="n">
        <v>0.22</v>
      </c>
    </row>
    <row r="6" customFormat="false" ht="15" hidden="false" customHeight="false" outlineLevel="0" collapsed="false">
      <c r="A6" s="0" t="s">
        <v>6</v>
      </c>
      <c r="B6" s="0" t="s">
        <v>5</v>
      </c>
      <c r="C6" s="0" t="n">
        <v>0.005</v>
      </c>
    </row>
    <row r="7" customFormat="false" ht="15" hidden="false" customHeight="false" outlineLevel="0" collapsed="false">
      <c r="A7" s="0" t="s">
        <v>7</v>
      </c>
      <c r="B7" s="0" t="s">
        <v>8</v>
      </c>
      <c r="C7" s="0" t="n">
        <v>26</v>
      </c>
    </row>
    <row r="8" customFormat="false" ht="15" hidden="false" customHeight="false" outlineLevel="0" collapsed="false">
      <c r="A8" s="0" t="s">
        <v>9</v>
      </c>
      <c r="B8" s="0" t="s">
        <v>5</v>
      </c>
      <c r="C8" s="0" t="n">
        <v>0.03</v>
      </c>
    </row>
    <row r="9" customFormat="false" ht="15" hidden="false" customHeight="false" outlineLevel="0" collapsed="false">
      <c r="A9" s="0" t="s">
        <v>10</v>
      </c>
      <c r="B9" s="0" t="s">
        <v>11</v>
      </c>
      <c r="C9" s="0" t="n">
        <v>900</v>
      </c>
    </row>
    <row r="10" customFormat="false" ht="15" hidden="false" customHeight="false" outlineLevel="0" collapsed="false">
      <c r="A10" s="0" t="s">
        <v>12</v>
      </c>
      <c r="B10" s="0" t="s">
        <v>11</v>
      </c>
      <c r="C10" s="0" t="n">
        <v>150</v>
      </c>
    </row>
    <row r="11" customFormat="false" ht="15" hidden="false" customHeight="false" outlineLevel="0" collapsed="false">
      <c r="A11" s="0" t="s">
        <v>13</v>
      </c>
      <c r="B11" s="0" t="s">
        <v>5</v>
      </c>
      <c r="C11" s="0" t="n">
        <v>0.07</v>
      </c>
    </row>
    <row r="12" customFormat="false" ht="15" hidden="false" customHeight="false" outlineLevel="0" collapsed="false">
      <c r="A12" s="0" t="s">
        <v>14</v>
      </c>
      <c r="B12" s="0" t="s">
        <v>11</v>
      </c>
      <c r="C12" s="0" t="n">
        <v>20500</v>
      </c>
    </row>
    <row r="13" customFormat="false" ht="15" hidden="false" customHeight="false" outlineLevel="0" collapsed="false">
      <c r="A13" s="0" t="s">
        <v>15</v>
      </c>
      <c r="B13" s="0" t="s">
        <v>11</v>
      </c>
      <c r="C13" s="0" t="n">
        <v>1200</v>
      </c>
    </row>
    <row r="14" customFormat="false" ht="15" hidden="false" customHeight="false" outlineLevel="0" collapsed="false">
      <c r="A14" s="0" t="s">
        <v>16</v>
      </c>
      <c r="B14" s="0" t="s">
        <v>11</v>
      </c>
      <c r="C14" s="0" t="n">
        <v>1800</v>
      </c>
    </row>
    <row r="15" customFormat="false" ht="15" hidden="false" customHeight="false" outlineLevel="0" collapsed="false">
      <c r="A15" s="0" t="s">
        <v>17</v>
      </c>
      <c r="B15" s="0" t="s">
        <v>11</v>
      </c>
      <c r="C15" s="0" t="n">
        <v>500</v>
      </c>
    </row>
    <row r="16" customFormat="false" ht="15" hidden="false" customHeight="false" outlineLevel="0" collapsed="false">
      <c r="A16" s="0" t="s">
        <v>18</v>
      </c>
      <c r="B16" s="0" t="s">
        <v>11</v>
      </c>
      <c r="C16" s="0" t="n">
        <f aca="false">SUM(C12:C15)</f>
        <v>24000</v>
      </c>
    </row>
    <row r="17" customFormat="false" ht="15" hidden="false" customHeight="false" outlineLevel="0" collapsed="false">
      <c r="A17" s="0" t="s">
        <v>19</v>
      </c>
      <c r="B17" s="0" t="s">
        <v>5</v>
      </c>
      <c r="C17" s="0" t="n">
        <v>0.75</v>
      </c>
    </row>
    <row r="18" customFormat="false" ht="15" hidden="false" customHeight="false" outlineLevel="0" collapsed="false">
      <c r="A18" s="0" t="s">
        <v>20</v>
      </c>
      <c r="B18" s="0" t="s">
        <v>11</v>
      </c>
      <c r="C18" s="0" t="n">
        <f aca="false">C16*C17</f>
        <v>18000</v>
      </c>
    </row>
    <row r="19" customFormat="false" ht="15" hidden="false" customHeight="false" outlineLevel="0" collapsed="false">
      <c r="A19" s="0" t="s">
        <v>21</v>
      </c>
      <c r="B19" s="0" t="s">
        <v>11</v>
      </c>
      <c r="C19" s="0" t="n">
        <f aca="false">C16-C18</f>
        <v>6000</v>
      </c>
    </row>
    <row r="20" customFormat="false" ht="15" hidden="false" customHeight="false" outlineLevel="0" collapsed="false">
      <c r="A20" s="0" t="s">
        <v>22</v>
      </c>
      <c r="B20" s="0" t="s">
        <v>5</v>
      </c>
      <c r="C20" s="0" t="n">
        <v>0.1125</v>
      </c>
    </row>
    <row r="21" customFormat="false" ht="15" hidden="false" customHeight="false" outlineLevel="0" collapsed="false">
      <c r="A21" s="0" t="s">
        <v>23</v>
      </c>
      <c r="B21" s="0" t="s">
        <v>5</v>
      </c>
      <c r="C21" s="0" t="n">
        <v>0.0225</v>
      </c>
    </row>
    <row r="22" customFormat="false" ht="15" hidden="false" customHeight="false" outlineLevel="0" collapsed="false">
      <c r="A22" s="0" t="s">
        <v>24</v>
      </c>
      <c r="B22" s="0" t="s">
        <v>5</v>
      </c>
      <c r="C22" s="0" t="n">
        <f aca="false">C20+C21</f>
        <v>0.135</v>
      </c>
    </row>
    <row r="23" customFormat="false" ht="15" hidden="false" customHeight="false" outlineLevel="0" collapsed="false">
      <c r="A23" s="0" t="s">
        <v>25</v>
      </c>
      <c r="B23" s="0" t="s">
        <v>26</v>
      </c>
      <c r="C23" s="0" t="n">
        <v>10</v>
      </c>
    </row>
    <row r="24" customFormat="false" ht="15" hidden="false" customHeight="false" outlineLevel="0" collapsed="false">
      <c r="A24" s="0" t="s">
        <v>27</v>
      </c>
      <c r="B24" s="0" t="s">
        <v>5</v>
      </c>
      <c r="C24" s="0" t="n">
        <v>0</v>
      </c>
    </row>
    <row r="25" customFormat="false" ht="15" hidden="false" customHeight="false" outlineLevel="0" collapsed="false">
      <c r="A25" s="0" t="s">
        <v>28</v>
      </c>
      <c r="B25" s="0" t="s">
        <v>26</v>
      </c>
      <c r="C25" s="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0" t="s">
        <v>11</v>
      </c>
    </row>
    <row r="3" customFormat="false" ht="15" hidden="false" customHeight="false" outlineLevel="0" collapsed="false">
      <c r="A3" s="0" t="s">
        <v>30</v>
      </c>
      <c r="C3" s="1" t="n">
        <v>2027</v>
      </c>
      <c r="D3" s="1" t="n">
        <v>2028</v>
      </c>
      <c r="E3" s="1" t="n">
        <v>2029</v>
      </c>
      <c r="F3" s="1" t="n">
        <v>2030</v>
      </c>
      <c r="G3" s="1" t="n">
        <v>2031</v>
      </c>
      <c r="H3" s="1" t="n">
        <v>2032</v>
      </c>
      <c r="I3" s="1" t="n">
        <v>2033</v>
      </c>
      <c r="J3" s="1" t="n">
        <v>2034</v>
      </c>
      <c r="K3" s="1" t="n">
        <v>2035</v>
      </c>
      <c r="L3" s="1" t="n">
        <v>2036</v>
      </c>
      <c r="M3" s="1" t="n">
        <v>2037</v>
      </c>
      <c r="N3" s="1" t="n">
        <v>2038</v>
      </c>
    </row>
    <row r="5" customFormat="false" ht="15" hidden="false" customHeight="false" outlineLevel="0" collapsed="false">
      <c r="A5" s="0" t="s">
        <v>31</v>
      </c>
      <c r="B5" s="0" t="s">
        <v>32</v>
      </c>
      <c r="C5" s="0" t="n">
        <v>1</v>
      </c>
      <c r="D5" s="0" t="n">
        <f aca="false">C5+1</f>
        <v>2</v>
      </c>
      <c r="E5" s="0" t="n">
        <f aca="false">D5+1</f>
        <v>3</v>
      </c>
      <c r="F5" s="0" t="n">
        <f aca="false">E5+1</f>
        <v>4</v>
      </c>
      <c r="G5" s="0" t="n">
        <f aca="false">F5+1</f>
        <v>5</v>
      </c>
      <c r="H5" s="0" t="n">
        <f aca="false">G5+1</f>
        <v>6</v>
      </c>
      <c r="I5" s="0" t="n">
        <f aca="false">H5+1</f>
        <v>7</v>
      </c>
      <c r="J5" s="0" t="n">
        <f aca="false">I5+1</f>
        <v>8</v>
      </c>
      <c r="K5" s="0" t="n">
        <f aca="false">J5+1</f>
        <v>9</v>
      </c>
      <c r="L5" s="0" t="n">
        <f aca="false">K5+1</f>
        <v>10</v>
      </c>
      <c r="M5" s="0" t="n">
        <f aca="false">L5+1</f>
        <v>11</v>
      </c>
      <c r="N5" s="0" t="n">
        <f aca="false">M5+1</f>
        <v>12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n">
        <f aca="false">Inputs!$C$4*8760*Inputs!$C$5*(1-Inputs!$C$6)^(C5-1)/1000</f>
        <v>289.08</v>
      </c>
      <c r="D6" s="0" t="n">
        <f aca="false">Inputs!$C$4*8760*Inputs!$C$5*(1-Inputs!$C$6)^(D5-1)/1000</f>
        <v>287.6346</v>
      </c>
      <c r="E6" s="0" t="n">
        <f aca="false">Inputs!$C$4*8760*Inputs!$C$5*(1-Inputs!$C$6)^(E5-1)/1000</f>
        <v>286.196427</v>
      </c>
      <c r="F6" s="0" t="n">
        <f aca="false">Inputs!$C$4*8760*Inputs!$C$5*(1-Inputs!$C$6)^(F5-1)/1000</f>
        <v>284.765444865</v>
      </c>
      <c r="G6" s="0" t="n">
        <f aca="false">Inputs!$C$4*8760*Inputs!$C$5*(1-Inputs!$C$6)^(G5-1)/1000</f>
        <v>283.341617640675</v>
      </c>
      <c r="H6" s="0" t="n">
        <f aca="false">Inputs!$C$4*8760*Inputs!$C$5*(1-Inputs!$C$6)^(H5-1)/1000</f>
        <v>281.924909552472</v>
      </c>
      <c r="I6" s="0" t="n">
        <f aca="false">Inputs!$C$4*8760*Inputs!$C$5*(1-Inputs!$C$6)^(I5-1)/1000</f>
        <v>280.515285004709</v>
      </c>
      <c r="J6" s="0" t="n">
        <f aca="false">Inputs!$C$4*8760*Inputs!$C$5*(1-Inputs!$C$6)^(J5-1)/1000</f>
        <v>279.112708579686</v>
      </c>
      <c r="K6" s="0" t="n">
        <f aca="false">Inputs!$C$4*8760*Inputs!$C$5*(1-Inputs!$C$6)^(K5-1)/1000</f>
        <v>277.717145036787</v>
      </c>
      <c r="L6" s="0" t="n">
        <f aca="false">Inputs!$C$4*8760*Inputs!$C$5*(1-Inputs!$C$6)^(L5-1)/1000</f>
        <v>276.328559311603</v>
      </c>
      <c r="M6" s="0" t="n">
        <f aca="false">Inputs!$C$4*8760*Inputs!$C$5*(1-Inputs!$C$6)^(M5-1)/1000</f>
        <v>274.946916515045</v>
      </c>
      <c r="N6" s="0" t="n">
        <f aca="false">Inputs!$C$4*8760*Inputs!$C$5*(1-Inputs!$C$6)^(N5-1)/1000</f>
        <v>273.57218193247</v>
      </c>
    </row>
    <row r="7" customFormat="false" ht="15" hidden="false" customHeight="false" outlineLevel="0" collapsed="false">
      <c r="A7" s="0" t="s">
        <v>35</v>
      </c>
      <c r="B7" s="0" t="s">
        <v>8</v>
      </c>
      <c r="C7" s="0" t="n">
        <f aca="false">Inputs!$C$7*(1+Inputs!$C$8)^(C5-1)</f>
        <v>26</v>
      </c>
      <c r="D7" s="0" t="n">
        <f aca="false">Inputs!$C$7*(1+Inputs!$C$8)^(D5-1)</f>
        <v>26.78</v>
      </c>
      <c r="E7" s="0" t="n">
        <f aca="false">Inputs!$C$7*(1+Inputs!$C$8)^(E5-1)</f>
        <v>27.5834</v>
      </c>
      <c r="F7" s="0" t="n">
        <f aca="false">Inputs!$C$7*(1+Inputs!$C$8)^(F5-1)</f>
        <v>28.410902</v>
      </c>
      <c r="G7" s="0" t="n">
        <f aca="false">Inputs!$C$7*(1+Inputs!$C$8)^(G5-1)</f>
        <v>29.26322906</v>
      </c>
      <c r="H7" s="0" t="n">
        <f aca="false">Inputs!$C$7*(1+Inputs!$C$8)^(H5-1)</f>
        <v>30.1411259318</v>
      </c>
      <c r="I7" s="0" t="n">
        <f aca="false">Inputs!$C$7*(1+Inputs!$C$8)^(I5-1)</f>
        <v>31.045359709754</v>
      </c>
      <c r="J7" s="0" t="n">
        <f aca="false">Inputs!$C$7*(1+Inputs!$C$8)^(J5-1)</f>
        <v>31.9767205010466</v>
      </c>
      <c r="K7" s="0" t="n">
        <f aca="false">Inputs!$C$7*(1+Inputs!$C$8)^(K5-1)</f>
        <v>32.936022116078</v>
      </c>
      <c r="L7" s="0" t="n">
        <f aca="false">Inputs!$C$7*(1+Inputs!$C$8)^(L5-1)</f>
        <v>33.9241027795604</v>
      </c>
      <c r="M7" s="0" t="n">
        <f aca="false">Inputs!$C$7*(1+Inputs!$C$8)^(M5-1)</f>
        <v>34.9418258629472</v>
      </c>
      <c r="N7" s="0" t="n">
        <f aca="false">Inputs!$C$7*(1+Inputs!$C$8)^(N5-1)</f>
        <v>35.9900806388356</v>
      </c>
    </row>
    <row r="8" customFormat="false" ht="15" hidden="false" customHeight="false" outlineLevel="0" collapsed="false">
      <c r="A8" s="0" t="s">
        <v>36</v>
      </c>
      <c r="B8" s="0" t="s">
        <v>11</v>
      </c>
      <c r="C8" s="0" t="n">
        <f aca="false">C6*C7</f>
        <v>7516.08</v>
      </c>
      <c r="D8" s="0" t="n">
        <f aca="false">D6*D7</f>
        <v>7702.854588</v>
      </c>
      <c r="E8" s="0" t="n">
        <f aca="false">E6*E7</f>
        <v>7894.2705245118</v>
      </c>
      <c r="F8" s="0" t="n">
        <f aca="false">F6*F7</f>
        <v>8090.44314704592</v>
      </c>
      <c r="G8" s="0" t="n">
        <f aca="false">G6*G7</f>
        <v>8291.49065925001</v>
      </c>
      <c r="H8" s="0" t="n">
        <f aca="false">H6*H7</f>
        <v>8497.53420213237</v>
      </c>
      <c r="I8" s="0" t="n">
        <f aca="false">I6*I7</f>
        <v>8708.69792705536</v>
      </c>
      <c r="J8" s="0" t="n">
        <f aca="false">J6*J7</f>
        <v>8925.10907054269</v>
      </c>
      <c r="K8" s="0" t="n">
        <f aca="false">K6*K7</f>
        <v>9146.89803094568</v>
      </c>
      <c r="L8" s="0" t="n">
        <f aca="false">L6*L7</f>
        <v>9374.19844701467</v>
      </c>
      <c r="M8" s="0" t="n">
        <f aca="false">M6*M7</f>
        <v>9607.14727842299</v>
      </c>
      <c r="N8" s="0" t="n">
        <f aca="false">N6*N7</f>
        <v>9845.8848882918</v>
      </c>
    </row>
    <row r="10" customFormat="false" ht="15" hidden="false" customHeight="false" outlineLevel="0" collapsed="false">
      <c r="A10" s="0" t="s">
        <v>37</v>
      </c>
      <c r="B10" s="0" t="s">
        <v>11</v>
      </c>
      <c r="C10" s="0" t="n">
        <f aca="false">Inputs!$C$9*(1+Inputs!$C$11)^(C5-1)</f>
        <v>900</v>
      </c>
      <c r="D10" s="0" t="n">
        <f aca="false">Inputs!$C$9*(1+Inputs!$C$11)^(D5-1)</f>
        <v>963</v>
      </c>
      <c r="E10" s="0" t="n">
        <f aca="false">Inputs!$C$9*(1+Inputs!$C$11)^(E5-1)</f>
        <v>1030.41</v>
      </c>
      <c r="F10" s="0" t="n">
        <f aca="false">Inputs!$C$9*(1+Inputs!$C$11)^(F5-1)</f>
        <v>1102.5387</v>
      </c>
      <c r="G10" s="0" t="n">
        <f aca="false">Inputs!$C$9*(1+Inputs!$C$11)^(G5-1)</f>
        <v>1179.716409</v>
      </c>
      <c r="H10" s="0" t="n">
        <v>1100</v>
      </c>
      <c r="I10" s="0" t="n">
        <f aca="false">Inputs!$C$9*(1+Inputs!$C$11)^(I5-1)</f>
        <v>1350.6573166641</v>
      </c>
      <c r="J10" s="0" t="n">
        <f aca="false">Inputs!$C$9*(1+Inputs!$C$11)^(J5-1)</f>
        <v>1445.20332883059</v>
      </c>
      <c r="K10" s="0" t="n">
        <f aca="false">Inputs!$C$9*(1+Inputs!$C$11)^(K5-1)</f>
        <v>1546.36756184873</v>
      </c>
      <c r="L10" s="0" t="n">
        <f aca="false">Inputs!$C$9*(1+Inputs!$C$11)^(L5-1)</f>
        <v>1654.61329117814</v>
      </c>
      <c r="M10" s="0" t="n">
        <f aca="false">Inputs!$C$9*(1+Inputs!$C$11)^(M5-1)</f>
        <v>1770.43622156061</v>
      </c>
      <c r="N10" s="0" t="n">
        <f aca="false">Inputs!$C$9*(1+Inputs!$C$11)^(N5-1)</f>
        <v>1894.36675706985</v>
      </c>
    </row>
    <row r="11" customFormat="false" ht="15" hidden="false" customHeight="false" outlineLevel="0" collapsed="false">
      <c r="A11" s="0" t="s">
        <v>38</v>
      </c>
      <c r="B11" s="0" t="s">
        <v>11</v>
      </c>
      <c r="C11" s="0" t="n">
        <f aca="false">Inputs!$C$10*(1+Inputs!$C$11)^(C5-1)</f>
        <v>150</v>
      </c>
      <c r="D11" s="0" t="n">
        <f aca="false">Inputs!$C$10*(1+Inputs!$C$11)^(D5-1)</f>
        <v>160.5</v>
      </c>
      <c r="E11" s="0" t="n">
        <f aca="false">Inputs!$C$10*(1+Inputs!$C$11)^(E5-1)</f>
        <v>171.735</v>
      </c>
      <c r="F11" s="0" t="n">
        <f aca="false">Inputs!$C$10*(1+Inputs!$C$11)^(F5-1)</f>
        <v>183.75645</v>
      </c>
      <c r="G11" s="0" t="n">
        <f aca="false">Inputs!$C$10*(1+Inputs!$C$11)^(G5-1)</f>
        <v>196.6194015</v>
      </c>
      <c r="H11" s="0" t="n">
        <f aca="false">Inputs!$C$10*(1+Inputs!$C$11)^(H5-1)</f>
        <v>210.382759605</v>
      </c>
      <c r="I11" s="0" t="n">
        <f aca="false">Inputs!$C$10*(1+Inputs!$C$11)^(I5-1)</f>
        <v>225.10955277735</v>
      </c>
      <c r="J11" s="0" t="n">
        <f aca="false">Inputs!$C$10*(1+Inputs!$C$11)^(J5-1)</f>
        <v>240.867221471765</v>
      </c>
      <c r="K11" s="0" t="n">
        <f aca="false">J11*1.05</f>
        <v>252.910582545353</v>
      </c>
      <c r="L11" s="0" t="n">
        <f aca="false">Inputs!$C$10*(1+Inputs!$C$11)^(L5-1)</f>
        <v>275.768881863023</v>
      </c>
      <c r="M11" s="0" t="n">
        <f aca="false">Inputs!$C$10*(1+Inputs!$C$11)^(M5-1)</f>
        <v>295.072703593435</v>
      </c>
      <c r="N11" s="0" t="n">
        <f aca="false">Inputs!$C$10*(1+Inputs!$C$11)^(N5-1)</f>
        <v>315.727792844975</v>
      </c>
    </row>
    <row r="12" customFormat="false" ht="15" hidden="false" customHeight="false" outlineLevel="0" collapsed="false">
      <c r="A12" s="0" t="s">
        <v>39</v>
      </c>
      <c r="B12" s="0" t="s">
        <v>11</v>
      </c>
      <c r="C12" s="0" t="n">
        <f aca="false">C10+C11</f>
        <v>1050</v>
      </c>
      <c r="D12" s="0" t="n">
        <f aca="false">D10+D11</f>
        <v>1123.5</v>
      </c>
      <c r="E12" s="0" t="n">
        <f aca="false">E10+E11</f>
        <v>1202.145</v>
      </c>
      <c r="F12" s="0" t="n">
        <f aca="false">F10+F11</f>
        <v>1286.29515</v>
      </c>
      <c r="G12" s="0" t="n">
        <f aca="false">G10+G11</f>
        <v>1376.3358105</v>
      </c>
      <c r="H12" s="0" t="n">
        <f aca="false">H10+H11</f>
        <v>1310.382759605</v>
      </c>
      <c r="I12" s="0" t="n">
        <f aca="false">I10+I11</f>
        <v>1575.76686944145</v>
      </c>
      <c r="J12" s="0" t="n">
        <f aca="false">J10+J11</f>
        <v>1686.07055030235</v>
      </c>
      <c r="K12" s="0" t="n">
        <f aca="false">K10+K11</f>
        <v>1799.27814439408</v>
      </c>
      <c r="L12" s="0" t="n">
        <f aca="false">L10+L11</f>
        <v>1930.38217304116</v>
      </c>
      <c r="M12" s="0" t="n">
        <f aca="false">M10+M11</f>
        <v>2065.50892515405</v>
      </c>
      <c r="N12" s="0" t="n">
        <f aca="false">N10+N11</f>
        <v>2210.09454991483</v>
      </c>
    </row>
    <row r="14" customFormat="false" ht="15" hidden="false" customHeight="false" outlineLevel="0" collapsed="false">
      <c r="A14" s="0" t="s">
        <v>40</v>
      </c>
      <c r="B14" s="0" t="s">
        <v>11</v>
      </c>
      <c r="C14" s="0" t="n">
        <f aca="false">C8-C12</f>
        <v>6466.08</v>
      </c>
      <c r="D14" s="0" t="n">
        <f aca="false">D8-D12</f>
        <v>6579.354588</v>
      </c>
      <c r="E14" s="0" t="n">
        <f aca="false">E8-E12</f>
        <v>6692.1255245118</v>
      </c>
      <c r="F14" s="0" t="n">
        <f aca="false">F8-F12</f>
        <v>6804.14799704592</v>
      </c>
      <c r="G14" s="0" t="n">
        <f aca="false">G8-G12</f>
        <v>6915.15484875001</v>
      </c>
      <c r="H14" s="0" t="n">
        <f aca="false">H8-H12</f>
        <v>7187.15144252737</v>
      </c>
      <c r="I14" s="0" t="n">
        <f aca="false">I8-I12</f>
        <v>7132.93105761391</v>
      </c>
      <c r="J14" s="0" t="n">
        <f aca="false">J8-J12</f>
        <v>7239.03852024034</v>
      </c>
      <c r="K14" s="0" t="n">
        <f aca="false">K8-K12</f>
        <v>7347.61988655159</v>
      </c>
      <c r="L14" s="0" t="n">
        <f aca="false">L8-L12</f>
        <v>7443.81627397351</v>
      </c>
      <c r="M14" s="0" t="n">
        <f aca="false">M8-M12</f>
        <v>7541.63835326895</v>
      </c>
      <c r="N14" s="0" t="n">
        <f aca="false">N8-N12</f>
        <v>7635.79033837697</v>
      </c>
    </row>
    <row r="15" customFormat="false" ht="15" hidden="false" customHeight="false" outlineLevel="0" collapsed="false">
      <c r="A15" s="0" t="s">
        <v>41</v>
      </c>
      <c r="B15" s="0" t="s">
        <v>5</v>
      </c>
      <c r="C15" s="0" t="n">
        <f aca="false">C14/C8</f>
        <v>0.860299517833765</v>
      </c>
      <c r="D15" s="0" t="n">
        <f aca="false">D14/D8</f>
        <v>0.8541449812969</v>
      </c>
      <c r="E15" s="0" t="n">
        <f aca="false">E14/E8</f>
        <v>0.847719305252167</v>
      </c>
      <c r="F15" s="0" t="n">
        <f aca="false">F14/F8</f>
        <v>0.841010544586835</v>
      </c>
      <c r="G15" s="0" t="n">
        <f aca="false">G14/G8</f>
        <v>0.834006227943517</v>
      </c>
      <c r="H15" s="0" t="n">
        <f aca="false">H14/H8</f>
        <v>0.845792587774913</v>
      </c>
      <c r="I15" s="0" t="n">
        <f aca="false">I14/I8</f>
        <v>0.819058269945728</v>
      </c>
      <c r="J15" s="0" t="n">
        <f aca="false">J14/J8</f>
        <v>0.811086840846884</v>
      </c>
      <c r="K15" s="0" t="n">
        <f aca="false">K14/K8</f>
        <v>0.803290892900874</v>
      </c>
      <c r="L15" s="0" t="n">
        <f aca="false">L14/L8</f>
        <v>0.794074961827172</v>
      </c>
      <c r="M15" s="0" t="n">
        <f aca="false">M14/M8</f>
        <v>0.785002887403107</v>
      </c>
      <c r="N15" s="0" t="n">
        <f aca="false">N14/N8</f>
        <v>0.775531140675537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0" t="s">
        <v>11</v>
      </c>
    </row>
    <row r="3" customFormat="false" ht="15" hidden="false" customHeight="false" outlineLevel="0" collapsed="false">
      <c r="A3" s="0" t="s">
        <v>30</v>
      </c>
      <c r="C3" s="1" t="n">
        <v>2027</v>
      </c>
      <c r="D3" s="1" t="n">
        <v>2028</v>
      </c>
      <c r="E3" s="1" t="n">
        <v>2029</v>
      </c>
      <c r="F3" s="1" t="n">
        <v>2030</v>
      </c>
      <c r="G3" s="1" t="n">
        <v>2031</v>
      </c>
      <c r="H3" s="1" t="n">
        <v>2032</v>
      </c>
      <c r="I3" s="1" t="n">
        <v>2033</v>
      </c>
      <c r="J3" s="1" t="n">
        <v>2034</v>
      </c>
      <c r="K3" s="1" t="n">
        <v>2035</v>
      </c>
      <c r="L3" s="1" t="n">
        <v>2036</v>
      </c>
      <c r="M3" s="1" t="n">
        <v>2037</v>
      </c>
      <c r="N3" s="1" t="n">
        <v>2038</v>
      </c>
    </row>
    <row r="5" customFormat="false" ht="15" hidden="false" customHeight="false" outlineLevel="0" collapsed="false">
      <c r="A5" s="0" t="s">
        <v>43</v>
      </c>
      <c r="C5" s="0" t="n">
        <f aca="false">Inputs!$C$18</f>
        <v>18000</v>
      </c>
      <c r="D5" s="0" t="n">
        <f aca="false">C7</f>
        <v>16200</v>
      </c>
      <c r="E5" s="0" t="n">
        <f aca="false">D7</f>
        <v>14400</v>
      </c>
      <c r="F5" s="0" t="n">
        <f aca="false">E7</f>
        <v>12600</v>
      </c>
      <c r="G5" s="0" t="n">
        <f aca="false">F7</f>
        <v>10800</v>
      </c>
      <c r="H5" s="0" t="n">
        <f aca="false">G7</f>
        <v>9000</v>
      </c>
      <c r="I5" s="0" t="n">
        <f aca="false">H7</f>
        <v>7200</v>
      </c>
      <c r="J5" s="0" t="n">
        <f aca="false">I7</f>
        <v>5400</v>
      </c>
      <c r="K5" s="0" t="n">
        <f aca="false">J7</f>
        <v>3600</v>
      </c>
      <c r="L5" s="0" t="n">
        <f aca="false">K7</f>
        <v>1800</v>
      </c>
      <c r="M5" s="0" t="n">
        <f aca="false">L7</f>
        <v>0</v>
      </c>
      <c r="N5" s="0" t="n">
        <f aca="false">M7</f>
        <v>0</v>
      </c>
    </row>
    <row r="6" customFormat="false" ht="15" hidden="false" customHeight="false" outlineLevel="0" collapsed="false">
      <c r="A6" s="0" t="s">
        <v>44</v>
      </c>
      <c r="C6" s="0" t="n">
        <f aca="false">MIN(C5,Inputs!$C$18/Inputs!$C$23)</f>
        <v>1800</v>
      </c>
      <c r="D6" s="0" t="n">
        <f aca="false">MIN(D5,Inputs!$C$18/Inputs!$C$23)</f>
        <v>1800</v>
      </c>
      <c r="E6" s="0" t="n">
        <f aca="false">MIN(E5,Inputs!$C$18/Inputs!$C$23)</f>
        <v>1800</v>
      </c>
      <c r="F6" s="0" t="n">
        <f aca="false">MIN(F5,Inputs!$C$18/Inputs!$C$23)</f>
        <v>1800</v>
      </c>
      <c r="G6" s="0" t="n">
        <f aca="false">MIN(G5,Inputs!$C$18/Inputs!$C$23)</f>
        <v>1800</v>
      </c>
      <c r="H6" s="0" t="n">
        <f aca="false">MIN(H5,Inputs!$C$18/Inputs!$C$23)</f>
        <v>1800</v>
      </c>
      <c r="I6" s="0" t="n">
        <f aca="false">MIN(I5,Inputs!$C$18/Inputs!$C$23)</f>
        <v>1800</v>
      </c>
      <c r="J6" s="0" t="n">
        <f aca="false">MIN(J5,Inputs!$C$18/Inputs!$C$23)</f>
        <v>1800</v>
      </c>
      <c r="K6" s="0" t="n">
        <f aca="false">MIN(K5,Inputs!$C$18/Inputs!$C$23)</f>
        <v>1800</v>
      </c>
      <c r="L6" s="0" t="n">
        <f aca="false">MIN(L5,Inputs!$C$18/Inputs!$C$23)</f>
        <v>1800</v>
      </c>
      <c r="M6" s="0" t="n">
        <f aca="false">MIN(M5,Inputs!$C$18/Inputs!$C$23)</f>
        <v>0</v>
      </c>
      <c r="N6" s="0" t="n">
        <f aca="false">MIN(N5,Inputs!$C$18/Inputs!$C$23)</f>
        <v>0</v>
      </c>
    </row>
    <row r="7" customFormat="false" ht="15" hidden="false" customHeight="false" outlineLevel="0" collapsed="false">
      <c r="A7" s="0" t="s">
        <v>45</v>
      </c>
      <c r="C7" s="0" t="n">
        <f aca="false">C5-C6</f>
        <v>16200</v>
      </c>
      <c r="D7" s="0" t="n">
        <f aca="false">D5-D6</f>
        <v>14400</v>
      </c>
      <c r="E7" s="0" t="n">
        <f aca="false">E5-E6</f>
        <v>12600</v>
      </c>
      <c r="F7" s="0" t="n">
        <f aca="false">F5-F6</f>
        <v>10800</v>
      </c>
      <c r="G7" s="0" t="n">
        <f aca="false">G5-G6</f>
        <v>9000</v>
      </c>
      <c r="H7" s="0" t="n">
        <f aca="false">H5-H6</f>
        <v>7200</v>
      </c>
      <c r="I7" s="0" t="n">
        <f aca="false">I5-I6</f>
        <v>5400</v>
      </c>
      <c r="J7" s="0" t="n">
        <f aca="false">J5-J6</f>
        <v>3600</v>
      </c>
      <c r="K7" s="0" t="n">
        <f aca="false">K5-K6</f>
        <v>1800</v>
      </c>
      <c r="L7" s="0" t="n">
        <f aca="false">L5-L6</f>
        <v>0</v>
      </c>
      <c r="M7" s="0" t="n">
        <f aca="false">M5-M6</f>
        <v>0</v>
      </c>
      <c r="N7" s="0" t="n">
        <f aca="false">N5-N6</f>
        <v>0</v>
      </c>
    </row>
    <row r="9" customFormat="false" ht="15" hidden="false" customHeight="false" outlineLevel="0" collapsed="false">
      <c r="A9" s="0" t="s">
        <v>46</v>
      </c>
      <c r="C9" s="0" t="n">
        <f aca="false">C5*Inputs!$C$22</f>
        <v>2430</v>
      </c>
      <c r="D9" s="0" t="n">
        <f aca="false">D5*Inputs!$C$22</f>
        <v>2187</v>
      </c>
      <c r="E9" s="0" t="n">
        <f aca="false">E5*Inputs!$C$22</f>
        <v>1944</v>
      </c>
      <c r="F9" s="0" t="n">
        <f aca="false">F5*Inputs!$C$22</f>
        <v>1701</v>
      </c>
      <c r="G9" s="0" t="n">
        <f aca="false">G5*Inputs!$C$22</f>
        <v>1458</v>
      </c>
      <c r="H9" s="0" t="n">
        <f aca="false">H5*Inputs!$C$22</f>
        <v>1215</v>
      </c>
      <c r="I9" s="0" t="n">
        <f aca="false">I5*Inputs!$C$22</f>
        <v>972</v>
      </c>
      <c r="J9" s="0" t="n">
        <f aca="false">J5*Inputs!$C$22</f>
        <v>729</v>
      </c>
      <c r="K9" s="0" t="n">
        <f aca="false">K5*Inputs!$C$22</f>
        <v>486</v>
      </c>
      <c r="L9" s="0" t="n">
        <f aca="false">L5*Inputs!$C$22</f>
        <v>243</v>
      </c>
      <c r="M9" s="0" t="n">
        <f aca="false">M5*Inputs!$C$22</f>
        <v>0</v>
      </c>
      <c r="N9" s="0" t="n">
        <f aca="false">N5*Inputs!$C$22</f>
        <v>0</v>
      </c>
    </row>
    <row r="10" customFormat="false" ht="15" hidden="false" customHeight="false" outlineLevel="0" collapsed="false">
      <c r="A10" s="0" t="s">
        <v>47</v>
      </c>
      <c r="C10" s="0" t="n">
        <f aca="false">C6+C9</f>
        <v>4230</v>
      </c>
      <c r="D10" s="0" t="n">
        <f aca="false">D6+D9</f>
        <v>3987</v>
      </c>
      <c r="E10" s="0" t="n">
        <f aca="false">E6+E9</f>
        <v>3744</v>
      </c>
      <c r="F10" s="0" t="n">
        <f aca="false">F6+F9</f>
        <v>3501</v>
      </c>
      <c r="G10" s="0" t="n">
        <f aca="false">G6+G9</f>
        <v>3258</v>
      </c>
      <c r="H10" s="0" t="n">
        <f aca="false">H6+H9</f>
        <v>3015</v>
      </c>
      <c r="I10" s="0" t="n">
        <f aca="false">I6+I9</f>
        <v>2772</v>
      </c>
      <c r="J10" s="0" t="n">
        <f aca="false">J6+J9</f>
        <v>2529</v>
      </c>
      <c r="K10" s="0" t="n">
        <f aca="false">K6+K9</f>
        <v>2286</v>
      </c>
      <c r="L10" s="0" t="n">
        <f aca="false">L6+L9</f>
        <v>2043</v>
      </c>
      <c r="M10" s="0" t="n">
        <f aca="false">M6+M9</f>
        <v>0</v>
      </c>
      <c r="N10" s="0" t="n">
        <f aca="false">N6+N9</f>
        <v>0</v>
      </c>
    </row>
    <row r="12" customFormat="false" ht="15" hidden="false" customHeight="false" outlineLevel="0" collapsed="false">
      <c r="A12" s="0" t="s">
        <v>48</v>
      </c>
      <c r="C12" s="0" t="n">
        <f aca="false">Operations!C14-'Financial Statements'!C10</f>
        <v>6466.08</v>
      </c>
      <c r="D12" s="0" t="n">
        <f aca="false">Operations!D14-'Financial Statements'!D10</f>
        <v>6579.354588</v>
      </c>
      <c r="E12" s="0" t="n">
        <f aca="false">Operations!E14-'Financial Statements'!E10</f>
        <v>6692.1255245118</v>
      </c>
      <c r="F12" s="0" t="n">
        <f aca="false">Operations!F14-'Financial Statements'!F10</f>
        <v>6804.14799704592</v>
      </c>
      <c r="G12" s="0" t="n">
        <f aca="false">Operations!G14-'Financial Statements'!G10</f>
        <v>6915.15484875001</v>
      </c>
      <c r="H12" s="0" t="n">
        <f aca="false">Operations!H14-'Financial Statements'!H10</f>
        <v>7187.15144252737</v>
      </c>
      <c r="I12" s="0" t="n">
        <f aca="false">Operations!I14-'Financial Statements'!I10</f>
        <v>7132.93105761391</v>
      </c>
      <c r="J12" s="0" t="n">
        <f aca="false">Operations!J14-'Financial Statements'!J10</f>
        <v>7239.03852024034</v>
      </c>
      <c r="K12" s="0" t="n">
        <f aca="false">Operations!K14-'Financial Statements'!K10</f>
        <v>7347.61988655159</v>
      </c>
      <c r="L12" s="0" t="n">
        <f aca="false">Operations!L14-'Financial Statements'!L10</f>
        <v>7443.81627397351</v>
      </c>
      <c r="M12" s="0" t="n">
        <f aca="false">Operations!M14-'Financial Statements'!M10</f>
        <v>7541.63835326895</v>
      </c>
      <c r="N12" s="0" t="n">
        <f aca="false">Operations!N14-'Financial Statements'!N10</f>
        <v>7635.79033837697</v>
      </c>
    </row>
    <row r="13" customFormat="false" ht="15" hidden="false" customHeight="false" outlineLevel="0" collapsed="false">
      <c r="A13" s="0" t="s">
        <v>49</v>
      </c>
      <c r="B13" s="0" t="s">
        <v>50</v>
      </c>
      <c r="C13" s="0" t="n">
        <f aca="false">IF(C10&gt;0,C12/C10,"n/a")</f>
        <v>1.52862411347518</v>
      </c>
      <c r="D13" s="0" t="n">
        <f aca="false">IF(D10&gt;0,D12/D10,"n/a")</f>
        <v>1.65020180285929</v>
      </c>
      <c r="E13" s="0" t="n">
        <f aca="false">IF(E10&gt;0,E12/E10,"n/a")</f>
        <v>1.78742668923926</v>
      </c>
      <c r="F13" s="0" t="n">
        <f aca="false">IF(F10&gt;0,F12/F10,"n/a")</f>
        <v>1.94348700286944</v>
      </c>
      <c r="G13" s="0" t="n">
        <f aca="false">IF(G10&gt;0,G12/G10,"n/a")</f>
        <v>2.12251530041437</v>
      </c>
      <c r="H13" s="0" t="n">
        <f aca="false">IF(H10&gt;0,H12/H10,"n/a")</f>
        <v>2.3837981567255</v>
      </c>
      <c r="I13" s="0" t="n">
        <f aca="false">IF(I10&gt;0,I12/I10,"n/a")</f>
        <v>2.57320745224167</v>
      </c>
      <c r="J13" s="0" t="n">
        <f aca="false">IF(J10&gt;0,J12/J10,"n/a")</f>
        <v>2.86241143544497</v>
      </c>
      <c r="K13" s="0" t="n">
        <f aca="false">IF(K10&gt;0,K12/K10,"n/a")</f>
        <v>3.21418192762537</v>
      </c>
      <c r="L13" s="0" t="n">
        <f aca="false">IF(L10&gt;0,L12/L10,"n/a")</f>
        <v>3.64357135289942</v>
      </c>
      <c r="M13" s="0" t="str">
        <f aca="false">IF(M10&gt;0,M12/M10,"n/a")</f>
        <v>n/a</v>
      </c>
      <c r="N13" s="0" t="str">
        <f aca="false">IF(N10&gt;0,N12/N10,"n/a")</f>
        <v>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0" t="s">
        <v>11</v>
      </c>
    </row>
    <row r="3" customFormat="false" ht="15" hidden="false" customHeight="false" outlineLevel="0" collapsed="false">
      <c r="A3" s="0" t="s">
        <v>30</v>
      </c>
      <c r="C3" s="1" t="n">
        <v>2027</v>
      </c>
      <c r="D3" s="1" t="n">
        <v>2028</v>
      </c>
      <c r="E3" s="1" t="n">
        <v>2029</v>
      </c>
      <c r="F3" s="1" t="n">
        <v>2030</v>
      </c>
      <c r="G3" s="1" t="n">
        <v>2031</v>
      </c>
      <c r="H3" s="1" t="n">
        <v>2032</v>
      </c>
      <c r="I3" s="1" t="n">
        <v>2033</v>
      </c>
      <c r="J3" s="1" t="n">
        <v>2034</v>
      </c>
      <c r="K3" s="1" t="n">
        <v>2035</v>
      </c>
      <c r="L3" s="1" t="n">
        <v>2036</v>
      </c>
      <c r="M3" s="1" t="n">
        <v>2037</v>
      </c>
      <c r="N3" s="1" t="n">
        <v>2038</v>
      </c>
    </row>
    <row r="4" customFormat="false" ht="15" hidden="false" customHeight="false" outlineLevel="0" collapsed="false">
      <c r="A4" s="0" t="s">
        <v>52</v>
      </c>
    </row>
    <row r="5" customFormat="false" ht="15" hidden="false" customHeight="false" outlineLevel="0" collapsed="false">
      <c r="A5" s="0" t="s">
        <v>36</v>
      </c>
      <c r="C5" s="0" t="n">
        <f aca="false">Operations!C8</f>
        <v>7516.08</v>
      </c>
      <c r="D5" s="0" t="n">
        <f aca="false">Operations!D8</f>
        <v>7702.854588</v>
      </c>
      <c r="E5" s="0" t="n">
        <f aca="false">Operations!E8</f>
        <v>7894.2705245118</v>
      </c>
      <c r="F5" s="0" t="n">
        <f aca="false">Operations!F8</f>
        <v>8090.44314704592</v>
      </c>
      <c r="G5" s="0" t="n">
        <f aca="false">Operations!G8</f>
        <v>8291.49065925001</v>
      </c>
      <c r="H5" s="0" t="n">
        <f aca="false">Operations!H8</f>
        <v>8497.53420213237</v>
      </c>
      <c r="I5" s="0" t="n">
        <f aca="false">Operations!I8</f>
        <v>8708.69792705536</v>
      </c>
      <c r="J5" s="0" t="n">
        <f aca="false">Operations!J8</f>
        <v>8925.10907054269</v>
      </c>
      <c r="K5" s="0" t="n">
        <f aca="false">Operations!K8</f>
        <v>9146.89803094568</v>
      </c>
      <c r="L5" s="0" t="n">
        <f aca="false">Operations!L8</f>
        <v>9374.19844701467</v>
      </c>
      <c r="M5" s="0" t="n">
        <f aca="false">Operations!M8</f>
        <v>9607.14727842299</v>
      </c>
      <c r="N5" s="0" t="n">
        <f aca="false">Operations!N8</f>
        <v>9845.8848882918</v>
      </c>
    </row>
    <row r="6" customFormat="false" ht="15" hidden="false" customHeight="false" outlineLevel="0" collapsed="false">
      <c r="A6" s="0" t="s">
        <v>53</v>
      </c>
      <c r="C6" s="0" t="n">
        <f aca="false">-Operations!C12</f>
        <v>-1050</v>
      </c>
      <c r="D6" s="0" t="n">
        <f aca="false">-Operations!D12</f>
        <v>-1123.5</v>
      </c>
      <c r="E6" s="0" t="n">
        <f aca="false">-Operations!E12</f>
        <v>-1202.145</v>
      </c>
      <c r="F6" s="0" t="n">
        <f aca="false">-Operations!F12</f>
        <v>-1286.29515</v>
      </c>
      <c r="G6" s="0" t="n">
        <f aca="false">-Operations!G12</f>
        <v>-1376.3358105</v>
      </c>
      <c r="H6" s="0" t="n">
        <f aca="false">-Operations!H12</f>
        <v>-1310.382759605</v>
      </c>
      <c r="I6" s="0" t="n">
        <f aca="false">-Operations!I12</f>
        <v>-1575.76686944145</v>
      </c>
      <c r="J6" s="0" t="n">
        <f aca="false">-Operations!J12</f>
        <v>-1686.07055030235</v>
      </c>
      <c r="K6" s="0" t="n">
        <f aca="false">-Operations!K12</f>
        <v>-1799.27814439408</v>
      </c>
      <c r="L6" s="0" t="n">
        <f aca="false">-Operations!L12</f>
        <v>-1930.38217304116</v>
      </c>
      <c r="M6" s="0" t="n">
        <f aca="false">-Operations!M12</f>
        <v>-2065.50892515405</v>
      </c>
      <c r="N6" s="0" t="n">
        <f aca="false">-Operations!N12</f>
        <v>-2210.09454991483</v>
      </c>
    </row>
    <row r="7" customFormat="false" ht="15" hidden="false" customHeight="false" outlineLevel="0" collapsed="false">
      <c r="A7" s="0" t="s">
        <v>40</v>
      </c>
      <c r="C7" s="0" t="n">
        <f aca="false">C5+C6</f>
        <v>6466.08</v>
      </c>
      <c r="D7" s="0" t="n">
        <f aca="false">D5+D6</f>
        <v>6579.354588</v>
      </c>
      <c r="E7" s="0" t="n">
        <f aca="false">E5+E6</f>
        <v>6692.1255245118</v>
      </c>
      <c r="F7" s="0" t="n">
        <f aca="false">F5+F6</f>
        <v>6804.14799704592</v>
      </c>
      <c r="G7" s="0" t="n">
        <f aca="false">G5+G6</f>
        <v>6915.15484875001</v>
      </c>
      <c r="H7" s="0" t="n">
        <f aca="false">H5+H6</f>
        <v>7187.15144252737</v>
      </c>
      <c r="I7" s="0" t="n">
        <f aca="false">I5+I6</f>
        <v>7132.93105761391</v>
      </c>
      <c r="J7" s="0" t="n">
        <f aca="false">J5+J6</f>
        <v>7239.03852024034</v>
      </c>
      <c r="K7" s="0" t="n">
        <f aca="false">K5+K6</f>
        <v>7347.61988655159</v>
      </c>
      <c r="L7" s="0" t="n">
        <f aca="false">L5+L6</f>
        <v>7443.81627397351</v>
      </c>
      <c r="M7" s="0" t="n">
        <f aca="false">M5+M6</f>
        <v>7541.63835326895</v>
      </c>
      <c r="N7" s="0" t="n">
        <f aca="false">N5+N6</f>
        <v>7635.79033837697</v>
      </c>
    </row>
    <row r="8" customFormat="false" ht="15" hidden="false" customHeight="false" outlineLevel="0" collapsed="false">
      <c r="A8" s="0" t="s">
        <v>54</v>
      </c>
      <c r="C8" s="0" t="n">
        <f aca="false">-Inputs!$C$16/Inputs!$C$25</f>
        <v>-960</v>
      </c>
      <c r="D8" s="0" t="n">
        <f aca="false">-Inputs!$C$16/Inputs!$C$25</f>
        <v>-960</v>
      </c>
      <c r="E8" s="0" t="n">
        <f aca="false">-Inputs!$C$16/Inputs!$C$25</f>
        <v>-960</v>
      </c>
      <c r="F8" s="0" t="n">
        <f aca="false">-Inputs!$C$16/Inputs!$C$25</f>
        <v>-960</v>
      </c>
      <c r="G8" s="0" t="n">
        <f aca="false">-Inputs!$C$16/Inputs!$C$25</f>
        <v>-960</v>
      </c>
      <c r="H8" s="0" t="n">
        <f aca="false">-Inputs!$C$16/Inputs!$C$25</f>
        <v>-960</v>
      </c>
      <c r="I8" s="0" t="n">
        <f aca="false">-Inputs!$C$16/Inputs!$C$25</f>
        <v>-960</v>
      </c>
      <c r="J8" s="0" t="n">
        <f aca="false">-Inputs!$C$16/Inputs!$C$25</f>
        <v>-960</v>
      </c>
      <c r="K8" s="0" t="n">
        <f aca="false">-Inputs!$C$16/Inputs!$C$25</f>
        <v>-960</v>
      </c>
      <c r="L8" s="0" t="n">
        <f aca="false">-Inputs!$C$16/Inputs!$C$25</f>
        <v>-960</v>
      </c>
      <c r="M8" s="0" t="n">
        <f aca="false">-Inputs!$C$16/Inputs!$C$25</f>
        <v>-960</v>
      </c>
      <c r="N8" s="0" t="n">
        <f aca="false">-Inputs!$C$16/Inputs!$C$25</f>
        <v>-960</v>
      </c>
    </row>
    <row r="9" customFormat="false" ht="15" hidden="false" customHeight="false" outlineLevel="0" collapsed="false">
      <c r="A9" s="0" t="s">
        <v>55</v>
      </c>
      <c r="C9" s="0" t="n">
        <f aca="false">-'Debt Schedule'!C9</f>
        <v>-2430</v>
      </c>
      <c r="D9" s="0" t="n">
        <f aca="false">-'Debt Schedule'!D9</f>
        <v>-2187</v>
      </c>
      <c r="E9" s="0" t="n">
        <f aca="false">-'Debt Schedule'!E9</f>
        <v>-1944</v>
      </c>
      <c r="F9" s="0" t="n">
        <f aca="false">-'Debt Schedule'!F9</f>
        <v>-1701</v>
      </c>
      <c r="G9" s="0" t="n">
        <f aca="false">-'Debt Schedule'!G9</f>
        <v>-1458</v>
      </c>
      <c r="H9" s="0" t="n">
        <f aca="false">-'Debt Schedule'!H9</f>
        <v>-1215</v>
      </c>
      <c r="I9" s="0" t="n">
        <f aca="false">-'Debt Schedule'!I9</f>
        <v>-972</v>
      </c>
      <c r="J9" s="0" t="n">
        <f aca="false">-'Debt Schedule'!J9</f>
        <v>-729</v>
      </c>
      <c r="K9" s="0" t="n">
        <f aca="false">-'Debt Schedule'!K9</f>
        <v>-486</v>
      </c>
      <c r="L9" s="0" t="n">
        <f aca="false">-'Debt Schedule'!L9</f>
        <v>-243</v>
      </c>
      <c r="M9" s="0" t="n">
        <f aca="false">-'Debt Schedule'!M9</f>
        <v>-0</v>
      </c>
      <c r="N9" s="0" t="n">
        <f aca="false">-'Debt Schedule'!N9</f>
        <v>-0</v>
      </c>
    </row>
    <row r="10" customFormat="false" ht="15" hidden="false" customHeight="false" outlineLevel="0" collapsed="false">
      <c r="A10" s="0" t="s">
        <v>56</v>
      </c>
      <c r="C10" s="0" t="n">
        <f aca="false">MAX(0,(C7+C8+C9)*Inputs!$C$24)</f>
        <v>0</v>
      </c>
      <c r="D10" s="0" t="n">
        <f aca="false">MAX(0,(D7+D8+D9)*Inputs!$C$24)</f>
        <v>0</v>
      </c>
      <c r="E10" s="0" t="n">
        <f aca="false">MAX(0,(E7+E8+E9)*Inputs!$C$24)</f>
        <v>0</v>
      </c>
      <c r="F10" s="0" t="n">
        <f aca="false">MAX(0,(F7+F8+F9)*Inputs!$C$24)</f>
        <v>0</v>
      </c>
      <c r="G10" s="0" t="n">
        <f aca="false">MAX(0,(G7+G8+G9)*Inputs!$C$24)</f>
        <v>0</v>
      </c>
      <c r="H10" s="0" t="n">
        <f aca="false">MAX(0,(H7+H8+H9)*Inputs!$C$24)</f>
        <v>0</v>
      </c>
      <c r="I10" s="0" t="n">
        <f aca="false">MAX(0,(I7+I8+I9)*Inputs!$C$24)</f>
        <v>0</v>
      </c>
      <c r="J10" s="0" t="n">
        <f aca="false">MAX(0,(J7+J8+J9)*Inputs!$C$24)</f>
        <v>0</v>
      </c>
      <c r="K10" s="0" t="n">
        <f aca="false">MAX(0,(K7+K8+K9)*Inputs!$C$24)</f>
        <v>0</v>
      </c>
      <c r="L10" s="0" t="n">
        <f aca="false">MAX(0,(L7+L8+L9)*Inputs!$C$24)</f>
        <v>0</v>
      </c>
      <c r="M10" s="0" t="n">
        <f aca="false">MAX(0,(M7+M8+M9)*Inputs!$C$24)</f>
        <v>0</v>
      </c>
      <c r="N10" s="0" t="n">
        <f aca="false">MAX(0,(N7+N8+N9)*Inputs!$C$24)</f>
        <v>0</v>
      </c>
    </row>
    <row r="11" customFormat="false" ht="15" hidden="false" customHeight="false" outlineLevel="0" collapsed="false">
      <c r="A11" s="0" t="s">
        <v>57</v>
      </c>
      <c r="C11" s="0" t="n">
        <f aca="false">C7+C8+C9-C10</f>
        <v>3076.08</v>
      </c>
      <c r="D11" s="0" t="n">
        <f aca="false">D7+D8+D9-D10</f>
        <v>3432.354588</v>
      </c>
      <c r="E11" s="0" t="n">
        <f aca="false">E7+E8+E9-E10</f>
        <v>3788.1255245118</v>
      </c>
      <c r="F11" s="0" t="n">
        <f aca="false">F7+F8+F9-F10</f>
        <v>4143.14799704592</v>
      </c>
      <c r="G11" s="0" t="n">
        <f aca="false">G7+G8+G9-G10</f>
        <v>4497.15484875001</v>
      </c>
      <c r="H11" s="0" t="n">
        <f aca="false">H7+H8+H9-H10</f>
        <v>5012.15144252737</v>
      </c>
      <c r="I11" s="0" t="n">
        <f aca="false">I7+I8+I9-I10</f>
        <v>5200.93105761391</v>
      </c>
      <c r="J11" s="0" t="n">
        <f aca="false">J7+J8+J9-J10</f>
        <v>5550.03852024034</v>
      </c>
      <c r="K11" s="0" t="n">
        <f aca="false">K7+K8+K9-K10</f>
        <v>5901.61988655159</v>
      </c>
      <c r="L11" s="0" t="n">
        <f aca="false">L7+L8+L9-L10</f>
        <v>6240.81627397351</v>
      </c>
      <c r="M11" s="0" t="n">
        <f aca="false">M7+M8+M9-M10</f>
        <v>6581.63835326895</v>
      </c>
      <c r="N11" s="0" t="n">
        <f aca="false">N7+N8+N9-N10</f>
        <v>6675.79033837697</v>
      </c>
    </row>
    <row r="13" customFormat="false" ht="15" hidden="false" customHeight="false" outlineLevel="0" collapsed="false">
      <c r="A13" s="0" t="s">
        <v>58</v>
      </c>
    </row>
    <row r="14" customFormat="false" ht="15" hidden="false" customHeight="false" outlineLevel="0" collapsed="false">
      <c r="A14" s="0" t="s">
        <v>59</v>
      </c>
      <c r="C14" s="0" t="n">
        <f aca="false">C7-C10</f>
        <v>6466.08</v>
      </c>
      <c r="D14" s="0" t="n">
        <f aca="false">D7-D10</f>
        <v>6579.354588</v>
      </c>
      <c r="E14" s="0" t="n">
        <f aca="false">E7-E10</f>
        <v>6692.1255245118</v>
      </c>
      <c r="F14" s="0" t="n">
        <f aca="false">F7-F10</f>
        <v>6804.14799704592</v>
      </c>
      <c r="G14" s="0" t="n">
        <f aca="false">G7-G10</f>
        <v>6915.15484875001</v>
      </c>
      <c r="H14" s="0" t="n">
        <f aca="false">H7-H10</f>
        <v>7187.15144252737</v>
      </c>
      <c r="I14" s="0" t="n">
        <f aca="false">I7-I10</f>
        <v>7132.93105761391</v>
      </c>
      <c r="J14" s="0" t="n">
        <f aca="false">J7-J10</f>
        <v>7239.03852024034</v>
      </c>
      <c r="K14" s="0" t="n">
        <f aca="false">K7-K10</f>
        <v>7347.61988655159</v>
      </c>
      <c r="L14" s="0" t="n">
        <f aca="false">L7-L10</f>
        <v>7443.81627397351</v>
      </c>
      <c r="M14" s="0" t="n">
        <f aca="false">M7-M10</f>
        <v>7541.63835326895</v>
      </c>
      <c r="N14" s="0" t="n">
        <f aca="false">N7-N10</f>
        <v>7635.79033837697</v>
      </c>
    </row>
    <row r="15" customFormat="false" ht="15" hidden="false" customHeight="false" outlineLevel="0" collapsed="false">
      <c r="A15" s="0" t="s">
        <v>60</v>
      </c>
      <c r="C15" s="0" t="n">
        <f aca="false">-'Debt Schedule'!C10</f>
        <v>-4230</v>
      </c>
      <c r="D15" s="0" t="n">
        <f aca="false">-'Debt Schedule'!D10</f>
        <v>-3987</v>
      </c>
      <c r="E15" s="0" t="n">
        <f aca="false">-'Debt Schedule'!E10</f>
        <v>-3744</v>
      </c>
      <c r="F15" s="0" t="n">
        <f aca="false">-'Debt Schedule'!F10</f>
        <v>-3501</v>
      </c>
      <c r="G15" s="0" t="n">
        <f aca="false">-'Debt Schedule'!G10</f>
        <v>-3258</v>
      </c>
      <c r="H15" s="0" t="n">
        <f aca="false">-'Debt Schedule'!H10</f>
        <v>-3015</v>
      </c>
      <c r="I15" s="0" t="n">
        <f aca="false">-'Debt Schedule'!I10</f>
        <v>-2772</v>
      </c>
      <c r="J15" s="0" t="n">
        <f aca="false">-'Debt Schedule'!J10</f>
        <v>-2529</v>
      </c>
      <c r="K15" s="0" t="n">
        <f aca="false">-'Debt Schedule'!K10</f>
        <v>-2286</v>
      </c>
      <c r="L15" s="0" t="n">
        <f aca="false">-'Debt Schedule'!L10</f>
        <v>-2043</v>
      </c>
      <c r="M15" s="0" t="n">
        <f aca="false">-'Debt Schedule'!M10</f>
        <v>-0</v>
      </c>
      <c r="N15" s="0" t="n">
        <f aca="false">-'Debt Schedule'!N10</f>
        <v>-0</v>
      </c>
    </row>
    <row r="16" customFormat="false" ht="15" hidden="false" customHeight="false" outlineLevel="0" collapsed="false">
      <c r="A16" s="0" t="s">
        <v>61</v>
      </c>
      <c r="C16" s="0" t="n">
        <f aca="false">C14+C15</f>
        <v>2236.08</v>
      </c>
      <c r="D16" s="0" t="n">
        <f aca="false">D14+D15</f>
        <v>2592.354588</v>
      </c>
      <c r="E16" s="0" t="n">
        <f aca="false">E14+E15</f>
        <v>2948.1255245118</v>
      </c>
      <c r="F16" s="0" t="n">
        <f aca="false">F14+F15</f>
        <v>3303.14799704592</v>
      </c>
      <c r="G16" s="0" t="n">
        <f aca="false">G14+G15</f>
        <v>3657.15484875001</v>
      </c>
      <c r="H16" s="0" t="n">
        <f aca="false">H14+H15</f>
        <v>4172.15144252737</v>
      </c>
      <c r="I16" s="0" t="n">
        <f aca="false">I14+I15</f>
        <v>4360.93105761391</v>
      </c>
      <c r="J16" s="0" t="n">
        <f aca="false">J14+J15</f>
        <v>4710.03852024034</v>
      </c>
      <c r="K16" s="0" t="n">
        <f aca="false">K14+K15</f>
        <v>5061.61988655159</v>
      </c>
      <c r="L16" s="0" t="n">
        <f aca="false">L14+L15</f>
        <v>5400.81627397351</v>
      </c>
      <c r="M16" s="0" t="n">
        <f aca="false">M14+M15</f>
        <v>7541.63835326895</v>
      </c>
      <c r="N16" s="0" t="n">
        <f aca="false">N14+N15</f>
        <v>7635.79033837697</v>
      </c>
    </row>
    <row r="17" customFormat="false" ht="15" hidden="false" customHeight="false" outlineLevel="0" collapsed="false">
      <c r="A17" s="0" t="s">
        <v>62</v>
      </c>
      <c r="C17" s="0" t="n">
        <f aca="false">C16</f>
        <v>2236.08</v>
      </c>
      <c r="D17" s="0" t="n">
        <f aca="false">C17+D16</f>
        <v>4828.434588</v>
      </c>
      <c r="E17" s="0" t="n">
        <f aca="false">D17+E16</f>
        <v>7776.5601125118</v>
      </c>
      <c r="F17" s="0" t="n">
        <f aca="false">E17+F16</f>
        <v>11079.7081095577</v>
      </c>
      <c r="G17" s="0" t="n">
        <f aca="false">F17+G16</f>
        <v>14736.8629583077</v>
      </c>
      <c r="H17" s="0" t="n">
        <f aca="false">G17+H16</f>
        <v>18909.0144008351</v>
      </c>
      <c r="I17" s="0" t="n">
        <f aca="false">H17+I16</f>
        <v>23269.945458449</v>
      </c>
      <c r="J17" s="0" t="n">
        <f aca="false">I17+J16</f>
        <v>27979.9839786894</v>
      </c>
      <c r="K17" s="0" t="n">
        <f aca="false">J17+K16</f>
        <v>33041.6038652409</v>
      </c>
      <c r="L17" s="0" t="n">
        <f aca="false">K17+L16</f>
        <v>38442.4201392144</v>
      </c>
      <c r="M17" s="0" t="n">
        <f aca="false">L17+M16</f>
        <v>45984.0584924834</v>
      </c>
      <c r="N17" s="0" t="n">
        <f aca="false">M17+N16</f>
        <v>53619.8488308604</v>
      </c>
    </row>
    <row r="19" customFormat="false" ht="15" hidden="false" customHeight="false" outlineLevel="0" collapsed="false">
      <c r="A19" s="0" t="s">
        <v>63</v>
      </c>
    </row>
    <row r="20" customFormat="false" ht="15" hidden="false" customHeight="false" outlineLevel="0" collapsed="false">
      <c r="A20" s="0" t="s">
        <v>64</v>
      </c>
      <c r="C20" s="0" t="n">
        <f aca="false">Inputs!$C$16+C8</f>
        <v>23040</v>
      </c>
      <c r="D20" s="0" t="n">
        <f aca="false">C20+D8</f>
        <v>22080</v>
      </c>
      <c r="E20" s="0" t="n">
        <f aca="false">D20+E8</f>
        <v>21120</v>
      </c>
      <c r="F20" s="0" t="n">
        <f aca="false">E20+F8</f>
        <v>20160</v>
      </c>
      <c r="G20" s="0" t="n">
        <f aca="false">F20+G8</f>
        <v>19200</v>
      </c>
      <c r="H20" s="0" t="n">
        <f aca="false">G20+H8</f>
        <v>18240</v>
      </c>
      <c r="I20" s="0" t="n">
        <f aca="false">H20+I8</f>
        <v>17280</v>
      </c>
      <c r="J20" s="0" t="n">
        <f aca="false">I20+J8</f>
        <v>16320</v>
      </c>
      <c r="K20" s="0" t="n">
        <f aca="false">J20+K8</f>
        <v>15360</v>
      </c>
      <c r="L20" s="0" t="n">
        <f aca="false">K20+L8</f>
        <v>14400</v>
      </c>
      <c r="M20" s="0" t="n">
        <f aca="false">L20+M8</f>
        <v>13440</v>
      </c>
      <c r="N20" s="0" t="n">
        <f aca="false">M20+N8</f>
        <v>12480</v>
      </c>
    </row>
    <row r="21" customFormat="false" ht="15" hidden="false" customHeight="false" outlineLevel="0" collapsed="false">
      <c r="A21" s="0" t="s">
        <v>65</v>
      </c>
      <c r="C21" s="0" t="n">
        <f aca="false">C17</f>
        <v>2236.08</v>
      </c>
      <c r="D21" s="0" t="n">
        <f aca="false">D17</f>
        <v>4828.434588</v>
      </c>
      <c r="E21" s="0" t="n">
        <f aca="false">E17</f>
        <v>7776.5601125118</v>
      </c>
      <c r="F21" s="0" t="n">
        <f aca="false">F17</f>
        <v>11079.7081095577</v>
      </c>
      <c r="G21" s="0" t="n">
        <f aca="false">G17</f>
        <v>14736.8629583077</v>
      </c>
      <c r="H21" s="0" t="n">
        <f aca="false">H17</f>
        <v>18909.0144008351</v>
      </c>
      <c r="I21" s="0" t="n">
        <f aca="false">I17</f>
        <v>23269.945458449</v>
      </c>
      <c r="J21" s="0" t="n">
        <f aca="false">J17</f>
        <v>27979.9839786894</v>
      </c>
      <c r="K21" s="0" t="n">
        <f aca="false">K17</f>
        <v>33041.6038652409</v>
      </c>
      <c r="L21" s="0" t="n">
        <f aca="false">L17</f>
        <v>38442.4201392144</v>
      </c>
      <c r="M21" s="0" t="n">
        <f aca="false">M17</f>
        <v>45984.0584924834</v>
      </c>
      <c r="N21" s="0" t="n">
        <f aca="false">N17</f>
        <v>53619.8488308604</v>
      </c>
    </row>
    <row r="22" customFormat="false" ht="15" hidden="false" customHeight="false" outlineLevel="0" collapsed="false">
      <c r="A22" s="0" t="s">
        <v>66</v>
      </c>
      <c r="C22" s="0" t="n">
        <f aca="false">C20+C21</f>
        <v>25276.08</v>
      </c>
      <c r="D22" s="0" t="n">
        <f aca="false">D20+D21</f>
        <v>26908.434588</v>
      </c>
      <c r="E22" s="0" t="n">
        <f aca="false">E20+E21</f>
        <v>28896.5601125118</v>
      </c>
      <c r="F22" s="0" t="n">
        <f aca="false">F20+F21</f>
        <v>31239.7081095577</v>
      </c>
      <c r="G22" s="0" t="n">
        <f aca="false">G20+G21</f>
        <v>33936.8629583077</v>
      </c>
      <c r="H22" s="0" t="n">
        <f aca="false">H20+H21</f>
        <v>37149.0144008351</v>
      </c>
      <c r="I22" s="0" t="n">
        <f aca="false">I20+I21</f>
        <v>40549.945458449</v>
      </c>
      <c r="J22" s="0" t="n">
        <f aca="false">J20+J21</f>
        <v>44299.9839786894</v>
      </c>
      <c r="K22" s="0" t="n">
        <f aca="false">K20+K21</f>
        <v>48401.6038652409</v>
      </c>
      <c r="L22" s="0" t="n">
        <f aca="false">L20+L21</f>
        <v>52842.4201392144</v>
      </c>
      <c r="M22" s="0" t="n">
        <f aca="false">M20+M21</f>
        <v>59424.0584924834</v>
      </c>
      <c r="N22" s="0" t="n">
        <f aca="false">N20+N21</f>
        <v>66099.8488308604</v>
      </c>
    </row>
    <row r="23" customFormat="false" ht="15" hidden="false" customHeight="false" outlineLevel="0" collapsed="false">
      <c r="A23" s="0" t="s">
        <v>20</v>
      </c>
      <c r="C23" s="0" t="n">
        <f aca="false">'Debt Schedule'!C7</f>
        <v>16200</v>
      </c>
      <c r="D23" s="0" t="n">
        <f aca="false">'Debt Schedule'!D7</f>
        <v>14400</v>
      </c>
      <c r="E23" s="0" t="n">
        <f aca="false">'Debt Schedule'!E7</f>
        <v>12600</v>
      </c>
      <c r="F23" s="0" t="n">
        <f aca="false">'Debt Schedule'!F7</f>
        <v>10800</v>
      </c>
      <c r="G23" s="0" t="n">
        <f aca="false">'Debt Schedule'!G7</f>
        <v>9000</v>
      </c>
      <c r="H23" s="0" t="n">
        <f aca="false">'Debt Schedule'!H7</f>
        <v>7200</v>
      </c>
      <c r="I23" s="0" t="n">
        <f aca="false">'Debt Schedule'!I7</f>
        <v>5400</v>
      </c>
      <c r="J23" s="0" t="n">
        <f aca="false">'Debt Schedule'!J7</f>
        <v>3600</v>
      </c>
      <c r="K23" s="0" t="n">
        <f aca="false">'Debt Schedule'!K7</f>
        <v>1800</v>
      </c>
      <c r="L23" s="0" t="n">
        <f aca="false">'Debt Schedule'!L7</f>
        <v>0</v>
      </c>
      <c r="M23" s="0" t="n">
        <f aca="false">'Debt Schedule'!M7</f>
        <v>0</v>
      </c>
      <c r="N23" s="0" t="n">
        <f aca="false">'Debt Schedule'!N7</f>
        <v>0</v>
      </c>
    </row>
    <row r="24" customFormat="false" ht="15" hidden="false" customHeight="false" outlineLevel="0" collapsed="false">
      <c r="A24" s="0" t="s">
        <v>67</v>
      </c>
      <c r="C24" s="0" t="n">
        <f aca="false">Inputs!$C$19</f>
        <v>6000</v>
      </c>
      <c r="D24" s="0" t="n">
        <f aca="false">Inputs!$C$19</f>
        <v>6000</v>
      </c>
      <c r="E24" s="0" t="n">
        <f aca="false">Inputs!$C$19</f>
        <v>6000</v>
      </c>
      <c r="F24" s="0" t="n">
        <f aca="false">Inputs!$C$19</f>
        <v>6000</v>
      </c>
      <c r="G24" s="0" t="n">
        <f aca="false">Inputs!$C$19</f>
        <v>6000</v>
      </c>
      <c r="H24" s="0" t="n">
        <f aca="false">Inputs!$C$19</f>
        <v>6000</v>
      </c>
      <c r="I24" s="0" t="n">
        <f aca="false">Inputs!$C$19</f>
        <v>6000</v>
      </c>
      <c r="J24" s="0" t="n">
        <f aca="false">Inputs!$C$19</f>
        <v>6000</v>
      </c>
      <c r="K24" s="0" t="n">
        <f aca="false">Inputs!$C$19</f>
        <v>6000</v>
      </c>
      <c r="L24" s="0" t="n">
        <f aca="false">Inputs!$C$19</f>
        <v>6000</v>
      </c>
      <c r="M24" s="0" t="n">
        <f aca="false">Inputs!$C$19</f>
        <v>6000</v>
      </c>
      <c r="N24" s="0" t="n">
        <f aca="false">Inputs!$C$19</f>
        <v>6000</v>
      </c>
    </row>
    <row r="25" customFormat="false" ht="15" hidden="false" customHeight="false" outlineLevel="0" collapsed="false">
      <c r="A25" s="0" t="s">
        <v>68</v>
      </c>
      <c r="C25" s="0" t="n">
        <f aca="false">C11</f>
        <v>3076.08</v>
      </c>
      <c r="D25" s="0" t="n">
        <f aca="false">C25+D11</f>
        <v>6508.434588</v>
      </c>
      <c r="E25" s="0" t="n">
        <f aca="false">D25+E11</f>
        <v>10296.5601125118</v>
      </c>
      <c r="F25" s="0" t="n">
        <f aca="false">E25+F11</f>
        <v>14439.7081095577</v>
      </c>
      <c r="G25" s="0" t="n">
        <f aca="false">F25+G11</f>
        <v>18936.8629583077</v>
      </c>
      <c r="H25" s="0" t="n">
        <f aca="false">G25+H11</f>
        <v>23949.0144008351</v>
      </c>
      <c r="I25" s="0" t="n">
        <f aca="false">H25+I11</f>
        <v>29149.945458449</v>
      </c>
      <c r="J25" s="0" t="n">
        <f aca="false">I25+J11</f>
        <v>34699.9839786893</v>
      </c>
      <c r="K25" s="0" t="n">
        <f aca="false">J25+K11</f>
        <v>40601.6038652409</v>
      </c>
      <c r="L25" s="0" t="n">
        <f aca="false">K25+L11</f>
        <v>46842.4201392144</v>
      </c>
      <c r="M25" s="0" t="n">
        <f aca="false">L25+M11</f>
        <v>53424.0584924834</v>
      </c>
      <c r="N25" s="0" t="n">
        <f aca="false">M25+N11</f>
        <v>60099.8488308604</v>
      </c>
    </row>
    <row r="26" customFormat="false" ht="15" hidden="false" customHeight="false" outlineLevel="0" collapsed="false">
      <c r="A26" s="0" t="s">
        <v>69</v>
      </c>
      <c r="C26" s="0" t="n">
        <f aca="false">C23+C24+C25</f>
        <v>25276.08</v>
      </c>
      <c r="D26" s="0" t="n">
        <f aca="false">D23+D24+D25</f>
        <v>26908.434588</v>
      </c>
      <c r="E26" s="0" t="n">
        <f aca="false">E23+E24+E25</f>
        <v>28896.5601125118</v>
      </c>
      <c r="F26" s="0" t="n">
        <f aca="false">F23+F24+F25</f>
        <v>31239.7081095577</v>
      </c>
      <c r="G26" s="0" t="n">
        <f aca="false">G23+G24+G25</f>
        <v>33936.8629583077</v>
      </c>
      <c r="H26" s="0" t="n">
        <f aca="false">H23+H24+H25</f>
        <v>37149.0144008351</v>
      </c>
      <c r="I26" s="0" t="n">
        <f aca="false">I23+I24+I25</f>
        <v>40549.945458449</v>
      </c>
      <c r="J26" s="0" t="n">
        <f aca="false">J23+J24+J25</f>
        <v>44299.9839786893</v>
      </c>
      <c r="K26" s="0" t="n">
        <f aca="false">K23+K24+K25</f>
        <v>48401.6038652409</v>
      </c>
      <c r="L26" s="0" t="n">
        <f aca="false">L23+L24+L25</f>
        <v>52842.4201392144</v>
      </c>
      <c r="M26" s="0" t="n">
        <f aca="false">M23+M24+M25</f>
        <v>59424.0584924834</v>
      </c>
      <c r="N26" s="0" t="n">
        <f aca="false">N23+N24+N25</f>
        <v>66099.8488308604</v>
      </c>
    </row>
    <row r="27" customFormat="false" ht="15" hidden="false" customHeight="false" outlineLevel="0" collapsed="false">
      <c r="A27" s="0" t="s">
        <v>70</v>
      </c>
      <c r="C27" s="0" t="n">
        <f aca="false">C22-C26</f>
        <v>0</v>
      </c>
      <c r="D27" s="0" t="n">
        <f aca="false">D22-D26</f>
        <v>0</v>
      </c>
      <c r="E27" s="0" t="n">
        <f aca="false">E22-E26</f>
        <v>0</v>
      </c>
      <c r="F27" s="0" t="n">
        <f aca="false">F22-F26</f>
        <v>0</v>
      </c>
      <c r="G27" s="0" t="n">
        <f aca="false">G22-G26</f>
        <v>0</v>
      </c>
      <c r="H27" s="0" t="n">
        <f aca="false">H22-H26</f>
        <v>0</v>
      </c>
      <c r="I27" s="0" t="n">
        <f aca="false">I22-I26</f>
        <v>0</v>
      </c>
      <c r="J27" s="0" t="n">
        <f aca="false">J22-J26</f>
        <v>0</v>
      </c>
      <c r="K27" s="0" t="n">
        <f aca="false">K22-K26</f>
        <v>0</v>
      </c>
      <c r="L27" s="0" t="n">
        <f aca="false">L22-L26</f>
        <v>0</v>
      </c>
      <c r="M27" s="0" t="n">
        <f aca="false">M22-M26</f>
        <v>0</v>
      </c>
      <c r="N27" s="0" t="n">
        <f aca="false">N22-N26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</cols>
  <sheetData>
    <row r="1" customFormat="false" ht="15" hidden="false" customHeight="false" outlineLevel="0" collapsed="false">
      <c r="A1" s="1" t="s">
        <v>71</v>
      </c>
    </row>
    <row r="3" customFormat="false" ht="15" hidden="false" customHeight="false" outlineLevel="0" collapsed="false">
      <c r="A3" s="0" t="s">
        <v>72</v>
      </c>
      <c r="B3" s="0" t="n">
        <f aca="false">Inputs!C16</f>
        <v>24000</v>
      </c>
    </row>
    <row r="4" customFormat="false" ht="15" hidden="false" customHeight="false" outlineLevel="0" collapsed="false">
      <c r="A4" s="0" t="s">
        <v>73</v>
      </c>
      <c r="B4" s="0" t="n">
        <f aca="false">Inputs!C18</f>
        <v>18000</v>
      </c>
    </row>
    <row r="5" customFormat="false" ht="15" hidden="false" customHeight="false" outlineLevel="0" collapsed="false">
      <c r="A5" s="0" t="s">
        <v>74</v>
      </c>
      <c r="B5" s="0" t="n">
        <f aca="false">Inputs!C19</f>
        <v>6000</v>
      </c>
    </row>
    <row r="6" customFormat="false" ht="15" hidden="false" customHeight="false" outlineLevel="0" collapsed="false">
      <c r="A6" s="0" t="s">
        <v>75</v>
      </c>
      <c r="B6" s="0" t="n">
        <f aca="false">MIN('Debt Schedule'!C13:N13)</f>
        <v>1.52862411347518</v>
      </c>
    </row>
    <row r="7" customFormat="false" ht="15" hidden="false" customHeight="false" outlineLevel="0" collapsed="false">
      <c r="A7" s="0" t="s">
        <v>76</v>
      </c>
      <c r="B7" s="0" t="n">
        <f aca="false">AVERAGE('Debt Schedule'!C13:N13)</f>
        <v>2.37094252337945</v>
      </c>
    </row>
    <row r="8" customFormat="false" ht="15" hidden="false" customHeight="false" outlineLevel="0" collapsed="false">
      <c r="A8" s="0" t="s">
        <v>77</v>
      </c>
      <c r="B8" s="0" t="n">
        <f aca="false">Operations!C14</f>
        <v>6466.08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2026-10-04T21:54:07Z</dcterms:created>
  <dc:creator>openpyxl</dc:creator>
  <dc:description/>
  <dc:language>en-US</dc:language>
  <cp:lastModifiedBy/>
  <dcterms:modified xsi:type="dcterms:W3CDTF">2026-10-04T21:54:07Z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